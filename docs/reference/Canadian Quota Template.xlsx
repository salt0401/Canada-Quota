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B\steel project\"/>
    </mc:Choice>
  </mc:AlternateContent>
  <xr:revisionPtr revIDLastSave="0" documentId="13_ncr:1_{BC90C860-205E-49A1-8FFC-1D3B0976FF3E}" xr6:coauthVersionLast="47" xr6:coauthVersionMax="47" xr10:uidLastSave="{00000000-0000-0000-0000-000000000000}"/>
  <bookViews>
    <workbookView xWindow="-110" yWindow="-110" windowWidth="19420" windowHeight="11500" xr2:uid="{7C42F2C2-6426-4130-A7C5-A86BE84BED3E}"/>
  </bookViews>
  <sheets>
    <sheet name="non-FTA Q3" sheetId="1" r:id="rId1"/>
    <sheet name="FTA Q3" sheetId="2" r:id="rId2"/>
    <sheet name="HTS code cover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2" l="1"/>
  <c r="E17" i="2"/>
  <c r="E42" i="1"/>
  <c r="E49" i="1"/>
  <c r="E37" i="1"/>
  <c r="E33" i="1"/>
  <c r="E25" i="1"/>
  <c r="E16" i="1"/>
  <c r="E6" i="1"/>
  <c r="E10" i="1"/>
</calcChain>
</file>

<file path=xl/sharedStrings.xml><?xml version="1.0" encoding="utf-8"?>
<sst xmlns="http://schemas.openxmlformats.org/spreadsheetml/2006/main" count="233" uniqueCount="104">
  <si>
    <t>Hot-Rolled Sheet</t>
  </si>
  <si>
    <t>China</t>
  </si>
  <si>
    <t>India</t>
  </si>
  <si>
    <t>Taiwan</t>
  </si>
  <si>
    <t>March 3 2026</t>
  </si>
  <si>
    <t>March 9 2026</t>
  </si>
  <si>
    <t>March 16 2026</t>
  </si>
  <si>
    <t>Cold-Rolled Sheet</t>
  </si>
  <si>
    <t>Coated Steel Sheet</t>
  </si>
  <si>
    <t>Steel Plate</t>
  </si>
  <si>
    <t>Türkiye</t>
  </si>
  <si>
    <t>Max Share (%)</t>
  </si>
  <si>
    <t>Max Quota (KG)</t>
  </si>
  <si>
    <t>Pakistan</t>
  </si>
  <si>
    <t>Thailand</t>
  </si>
  <si>
    <t>Saudi Arabia</t>
  </si>
  <si>
    <t>South Africa</t>
  </si>
  <si>
    <t>United Arab Emirates</t>
  </si>
  <si>
    <t>March 23 2026</t>
  </si>
  <si>
    <t>March 30 2026</t>
  </si>
  <si>
    <t>OVER</t>
  </si>
  <si>
    <t>Rebar</t>
  </si>
  <si>
    <t>Wire Rod</t>
  </si>
  <si>
    <t>Structural Steel</t>
  </si>
  <si>
    <t>Hot-Rolled Bar</t>
  </si>
  <si>
    <t>TOTAL</t>
  </si>
  <si>
    <t>Cambodia</t>
  </si>
  <si>
    <t>Indonesia</t>
  </si>
  <si>
    <t>Sri Lanka</t>
  </si>
  <si>
    <t>Brazil</t>
  </si>
  <si>
    <t>Argentina</t>
  </si>
  <si>
    <t>Non-FTA Quota - Quarter 3: December 26, 2025 to March 25, 2026</t>
  </si>
  <si>
    <t>Country</t>
  </si>
  <si>
    <t>FTA Quota - Quarter 3: December 26, 2025 to March 25, 2026</t>
  </si>
  <si>
    <t>Australia</t>
  </si>
  <si>
    <t>Austria</t>
  </si>
  <si>
    <t>Belgium</t>
  </si>
  <si>
    <t>Finland</t>
  </si>
  <si>
    <t>France</t>
  </si>
  <si>
    <t>Germany</t>
  </si>
  <si>
    <t>Japan</t>
  </si>
  <si>
    <t>Korea, Republic of</t>
  </si>
  <si>
    <t>Netherlands</t>
  </si>
  <si>
    <t>Poland</t>
  </si>
  <si>
    <t>Slovenia</t>
  </si>
  <si>
    <t>Spain</t>
  </si>
  <si>
    <t>Sweden</t>
  </si>
  <si>
    <t>United Kingdom</t>
  </si>
  <si>
    <t>Malaysia</t>
  </si>
  <si>
    <t>Slovakia</t>
  </si>
  <si>
    <t>Plus the 6 steel products on the non-FTA page</t>
  </si>
  <si>
    <t>Flat</t>
  </si>
  <si>
    <t>Long</t>
  </si>
  <si>
    <t>7213.10.00; 7213.20.00; 7213.91.00; 7213.99.00; 7214.10.00; 7214.20.00; 7214.91.00; 7214.99.00; 7216.10.00; 7216.21.00; 7216.22.00; 7216.31.00; 7216.32.00; 7216.33.00; 7216.40.00; 7216.50.00; 7216.99.00; 7217.10.00; 7217.20.00; 7217.30.00; 7217.90.00; 7224.10.00; 7227.10.00; 7227.20.00; 7227.90.00; 7228.30.00; 7228.40.00; 7228.50.00; 7228.60.00; 7228.70.00; 7228.80.00; 7229.20.00; 7229.90.00; 7301.10.00; 7301.20.00</t>
  </si>
  <si>
    <t>7208.10.00.00</t>
  </si>
  <si>
    <t>7208.25.00.00</t>
  </si>
  <si>
    <t>7208.26.00.00</t>
  </si>
  <si>
    <t>7208.27.00.00</t>
  </si>
  <si>
    <t>7208.36.00.00</t>
  </si>
  <si>
    <t>7208.37.00.00</t>
  </si>
  <si>
    <t>7208.38.00.00</t>
  </si>
  <si>
    <t>7208.39.00.00</t>
  </si>
  <si>
    <t>Hot-rolled sheet</t>
  </si>
  <si>
    <t xml:space="preserve">Steel / heavy plate </t>
  </si>
  <si>
    <t>7208.40.00.00</t>
  </si>
  <si>
    <t>7208.51.00.00</t>
  </si>
  <si>
    <t>7208.52.00.00</t>
  </si>
  <si>
    <t>Cold-rolled sheet</t>
  </si>
  <si>
    <t>7209.15.00.00</t>
  </si>
  <si>
    <t>7209.16.00.00</t>
  </si>
  <si>
    <t>7209.17.00.00</t>
  </si>
  <si>
    <t>7209.18.00.00</t>
  </si>
  <si>
    <t>7209.25.00.00</t>
  </si>
  <si>
    <t>7209.26.00.00</t>
  </si>
  <si>
    <t>7209.27.00.00</t>
  </si>
  <si>
    <t>7209.28.00.00</t>
  </si>
  <si>
    <t>Coated steel sheet</t>
  </si>
  <si>
    <t>7210.41.00.00</t>
  </si>
  <si>
    <t>7210.49.00.00</t>
  </si>
  <si>
    <t>7210.61.00.00</t>
  </si>
  <si>
    <t>7210.69.00.00</t>
  </si>
  <si>
    <t>7210.70.00.00</t>
  </si>
  <si>
    <t>7210.90.00.00</t>
  </si>
  <si>
    <r>
      <t xml:space="preserve">7208.10.00; 7208.25.00; 7208.26.00; 7208.27.00; 7208.36.00; 7208.37.00; 7208.38.00; 7208.39.00; 7208.40.00; 7208.51.00; 7208.52.00; </t>
    </r>
    <r>
      <rPr>
        <sz val="10"/>
        <color rgb="FFFF0000"/>
        <rFont val="Arial"/>
        <family val="2"/>
      </rPr>
      <t>7208.53.00; 7208.54.00</t>
    </r>
    <r>
      <rPr>
        <sz val="10"/>
        <color rgb="FF333333"/>
        <rFont val="Arial"/>
        <family val="2"/>
      </rPr>
      <t xml:space="preserve">; </t>
    </r>
    <r>
      <rPr>
        <sz val="10"/>
        <color rgb="FFFF0000"/>
        <rFont val="Arial"/>
        <family val="2"/>
      </rPr>
      <t>7208.90.00</t>
    </r>
    <r>
      <rPr>
        <sz val="10"/>
        <color rgb="FF333333"/>
        <rFont val="Arial"/>
        <family val="2"/>
      </rPr>
      <t xml:space="preserve">; 7209.15.00; 7209.16.00; 7209.17.00; 7209.18.00; 7209.25.00; 7209.26.00; 7209.27.00; 7209.28.00; </t>
    </r>
    <r>
      <rPr>
        <sz val="10"/>
        <color rgb="FFFF0000"/>
        <rFont val="Arial"/>
        <family val="2"/>
      </rPr>
      <t>7209.90.00</t>
    </r>
    <r>
      <rPr>
        <sz val="10"/>
        <color rgb="FF333333"/>
        <rFont val="Arial"/>
        <family val="2"/>
      </rPr>
      <t>; 7210.11.00; 7210.12.00; 7210.49.00; 7210.50.00; 7210.61.00; 7210.69.00; 7210.70.00; 7210.90.00; 7211.14.00; 7211.19.00; 7211.23.00; 7211.29.00; 7211.90.00; 7212.10.00; 7212.30.00; 7212.40.00; 7212.50.00; 7225.19.00; 7225.30.00; 7225.40.00; 7225.50.00; 7225.91.00; 7225.92.00; 7225.99.00; 7226.91.00; 7226.92.00; 7226.99.00</t>
    </r>
  </si>
  <si>
    <t>7214.20.00.00</t>
  </si>
  <si>
    <t>Hot-rolled bar</t>
  </si>
  <si>
    <t>7214.30.00.00</t>
  </si>
  <si>
    <t>7214.91.00.00</t>
  </si>
  <si>
    <r>
      <t>7214.99.00.00</t>
    </r>
    <r>
      <rPr>
        <sz val="11"/>
        <color theme="1"/>
        <rFont val="Aptos Narrow"/>
        <family val="2"/>
        <scheme val="minor"/>
      </rPr>
      <t xml:space="preserve"> </t>
    </r>
  </si>
  <si>
    <t>Wire rod</t>
  </si>
  <si>
    <t>7213.10.00.00</t>
  </si>
  <si>
    <t>7213.20.00.00</t>
  </si>
  <si>
    <t>7213.91.00.00</t>
  </si>
  <si>
    <r>
      <t>7213.99.00.00</t>
    </r>
    <r>
      <rPr>
        <sz val="11"/>
        <color theme="1"/>
        <rFont val="Aptos Narrow"/>
        <family val="2"/>
        <scheme val="minor"/>
      </rPr>
      <t xml:space="preserve"> </t>
    </r>
  </si>
  <si>
    <t>Structural steel</t>
  </si>
  <si>
    <t>7216.10.00.00</t>
  </si>
  <si>
    <t>7216.21.00.00</t>
  </si>
  <si>
    <r>
      <t>7216.22.00.00</t>
    </r>
    <r>
      <rPr>
        <sz val="11"/>
        <color theme="1"/>
        <rFont val="Aptos Narrow"/>
        <family val="2"/>
        <scheme val="minor"/>
      </rPr>
      <t xml:space="preserve"> </t>
    </r>
  </si>
  <si>
    <t>7216.31.00.00</t>
  </si>
  <si>
    <t>7216.32.00.00</t>
  </si>
  <si>
    <t>7216.33.00.00</t>
  </si>
  <si>
    <t>7216.40.00.00</t>
  </si>
  <si>
    <r>
      <t>7216.50.00.00</t>
    </r>
    <r>
      <rPr>
        <sz val="11"/>
        <color theme="1"/>
        <rFont val="Aptos Narrow"/>
        <family val="2"/>
        <scheme val="minor"/>
      </rPr>
      <t xml:space="preserve"> </t>
    </r>
  </si>
  <si>
    <r>
      <t>7216.69.00.00</t>
    </r>
    <r>
      <rPr>
        <sz val="11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</si>
</sst>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252423"/>
      <name val="Segoe UI"/>
      <family val="2"/>
    </font>
    <font>
      <sz val="8"/>
      <color rgb="FF252423"/>
      <name val="Segoe UI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5E5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168" fontId="0" fillId="0" borderId="0" xfId="1" applyNumberFormat="1" applyFont="1"/>
    <xf numFmtId="0" fontId="3" fillId="0" borderId="1" xfId="0" applyFont="1" applyBorder="1" applyAlignment="1">
      <alignment horizontal="left" vertical="center" wrapText="1" readingOrder="1"/>
    </xf>
    <xf numFmtId="3" fontId="4" fillId="0" borderId="1" xfId="0" applyNumberFormat="1" applyFont="1" applyBorder="1" applyAlignment="1">
      <alignment horizontal="right" vertical="center" wrapText="1" readingOrder="1"/>
    </xf>
    <xf numFmtId="10" fontId="4" fillId="0" borderId="1" xfId="0" applyNumberFormat="1" applyFont="1" applyBorder="1" applyAlignment="1">
      <alignment horizontal="right" vertical="center" wrapText="1" readingOrder="1"/>
    </xf>
    <xf numFmtId="0" fontId="0" fillId="2" borderId="0" xfId="0" applyFill="1"/>
    <xf numFmtId="168" fontId="0" fillId="0" borderId="0" xfId="0" applyNumberFormat="1"/>
    <xf numFmtId="168" fontId="0" fillId="2" borderId="0" xfId="1" applyNumberFormat="1" applyFont="1" applyFill="1"/>
    <xf numFmtId="0" fontId="3" fillId="0" borderId="0" xfId="0" applyFont="1" applyBorder="1" applyAlignment="1">
      <alignment horizontal="left" vertical="center" wrapText="1" readingOrder="1"/>
    </xf>
    <xf numFmtId="3" fontId="4" fillId="0" borderId="0" xfId="0" applyNumberFormat="1" applyFont="1" applyBorder="1" applyAlignment="1">
      <alignment horizontal="right" vertical="center" wrapText="1" readingOrder="1"/>
    </xf>
    <xf numFmtId="10" fontId="4" fillId="0" borderId="0" xfId="0" applyNumberFormat="1" applyFont="1" applyBorder="1" applyAlignment="1">
      <alignment horizontal="right" vertical="center" wrapText="1" readingOrder="1"/>
    </xf>
    <xf numFmtId="0" fontId="2" fillId="0" borderId="0" xfId="0" applyFont="1"/>
    <xf numFmtId="0" fontId="2" fillId="2" borderId="0" xfId="0" applyFont="1" applyFill="1"/>
    <xf numFmtId="0" fontId="6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vertical="center" wrapText="1"/>
    </xf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0AF3-0ED8-4195-A9D5-1EC65EEA2F4B}">
  <dimension ref="A1:J4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5" x14ac:dyDescent="0.35"/>
  <cols>
    <col min="1" max="1" width="16.26953125" bestFit="1" customWidth="1"/>
    <col min="2" max="2" width="18" bestFit="1" customWidth="1"/>
    <col min="3" max="3" width="13.453125" bestFit="1" customWidth="1"/>
    <col min="4" max="4" width="12.26953125" bestFit="1" customWidth="1"/>
    <col min="5" max="6" width="11.6328125" bestFit="1" customWidth="1"/>
    <col min="7" max="9" width="12.6328125" bestFit="1" customWidth="1"/>
  </cols>
  <sheetData>
    <row r="1" spans="1:10" x14ac:dyDescent="0.35">
      <c r="A1" t="s">
        <v>31</v>
      </c>
      <c r="E1" s="7"/>
    </row>
    <row r="2" spans="1:10" x14ac:dyDescent="0.35">
      <c r="B2" s="12" t="s">
        <v>32</v>
      </c>
      <c r="C2" s="12" t="s">
        <v>12</v>
      </c>
      <c r="D2" s="12" t="s">
        <v>11</v>
      </c>
      <c r="E2" s="12" t="s">
        <v>4</v>
      </c>
      <c r="F2" s="12" t="s">
        <v>5</v>
      </c>
      <c r="G2" s="12" t="s">
        <v>6</v>
      </c>
      <c r="H2" s="12" t="s">
        <v>18</v>
      </c>
      <c r="I2" s="12" t="s">
        <v>19</v>
      </c>
      <c r="J2" s="13" t="s">
        <v>20</v>
      </c>
    </row>
    <row r="3" spans="1:10" x14ac:dyDescent="0.35">
      <c r="A3" t="s">
        <v>0</v>
      </c>
      <c r="B3" t="s">
        <v>1</v>
      </c>
      <c r="C3" s="1">
        <v>2370500</v>
      </c>
      <c r="D3" s="2">
        <v>0.41</v>
      </c>
      <c r="E3" s="2">
        <v>2.3E-2</v>
      </c>
      <c r="J3" s="6"/>
    </row>
    <row r="4" spans="1:10" x14ac:dyDescent="0.35">
      <c r="A4" t="s">
        <v>0</v>
      </c>
      <c r="B4" t="s">
        <v>2</v>
      </c>
      <c r="C4" s="1">
        <v>2370500</v>
      </c>
      <c r="D4" s="2">
        <v>0.41</v>
      </c>
      <c r="E4" s="2">
        <v>4.0000000000000002E-4</v>
      </c>
      <c r="J4" s="6"/>
    </row>
    <row r="5" spans="1:10" x14ac:dyDescent="0.35">
      <c r="A5" t="s">
        <v>0</v>
      </c>
      <c r="B5" t="s">
        <v>3</v>
      </c>
      <c r="C5" s="1">
        <v>2370500</v>
      </c>
      <c r="D5" s="2">
        <v>0.41</v>
      </c>
      <c r="E5" s="2">
        <v>0.40920000000000001</v>
      </c>
      <c r="J5" s="6"/>
    </row>
    <row r="6" spans="1:10" x14ac:dyDescent="0.35">
      <c r="A6" t="s">
        <v>0</v>
      </c>
      <c r="B6" t="s">
        <v>25</v>
      </c>
      <c r="C6" s="1"/>
      <c r="D6" s="2"/>
      <c r="E6" s="8">
        <f>SUM(E3:E5)</f>
        <v>0.43259999999999998</v>
      </c>
      <c r="J6" s="6"/>
    </row>
    <row r="7" spans="1:10" x14ac:dyDescent="0.35">
      <c r="A7" t="s">
        <v>9</v>
      </c>
      <c r="B7" t="s">
        <v>1</v>
      </c>
      <c r="C7" s="1">
        <v>5201200</v>
      </c>
      <c r="D7" s="2">
        <v>0.36</v>
      </c>
      <c r="E7" s="2">
        <v>0.36</v>
      </c>
      <c r="J7" s="6"/>
    </row>
    <row r="8" spans="1:10" x14ac:dyDescent="0.35">
      <c r="A8" t="s">
        <v>9</v>
      </c>
      <c r="B8" t="s">
        <v>3</v>
      </c>
      <c r="C8" s="1">
        <v>5201200</v>
      </c>
      <c r="D8" s="2">
        <v>0.36</v>
      </c>
      <c r="E8" s="2">
        <v>0.19339999999999999</v>
      </c>
      <c r="J8" s="6"/>
    </row>
    <row r="9" spans="1:10" x14ac:dyDescent="0.35">
      <c r="A9" t="s">
        <v>9</v>
      </c>
      <c r="B9" t="s">
        <v>10</v>
      </c>
      <c r="C9" s="1">
        <v>5201200</v>
      </c>
      <c r="D9" s="2">
        <v>0.36</v>
      </c>
      <c r="E9" s="2">
        <v>0.36</v>
      </c>
      <c r="J9" s="6"/>
    </row>
    <row r="10" spans="1:10" x14ac:dyDescent="0.35">
      <c r="A10" t="s">
        <v>9</v>
      </c>
      <c r="B10" t="s">
        <v>25</v>
      </c>
      <c r="C10" s="1"/>
      <c r="D10" s="2"/>
      <c r="E10" s="8">
        <f>SUM(E7:E9)</f>
        <v>0.91339999999999999</v>
      </c>
      <c r="J10" s="6"/>
    </row>
    <row r="11" spans="1:10" x14ac:dyDescent="0.35">
      <c r="A11" t="s">
        <v>7</v>
      </c>
      <c r="B11" t="s">
        <v>1</v>
      </c>
      <c r="C11" s="1">
        <v>6164400</v>
      </c>
      <c r="D11" s="2">
        <v>0.92</v>
      </c>
      <c r="E11" s="2">
        <v>6.7000000000000002E-3</v>
      </c>
      <c r="J11" s="6"/>
    </row>
    <row r="12" spans="1:10" x14ac:dyDescent="0.35">
      <c r="A12" t="s">
        <v>7</v>
      </c>
      <c r="B12" t="s">
        <v>2</v>
      </c>
      <c r="C12" s="1">
        <v>6164400</v>
      </c>
      <c r="D12" s="2">
        <v>0.92</v>
      </c>
      <c r="E12" s="2">
        <v>3.8E-3</v>
      </c>
      <c r="J12" s="6"/>
    </row>
    <row r="13" spans="1:10" x14ac:dyDescent="0.35">
      <c r="A13" t="s">
        <v>7</v>
      </c>
      <c r="B13" t="s">
        <v>13</v>
      </c>
      <c r="C13" s="1">
        <v>6164400</v>
      </c>
      <c r="D13" s="2">
        <v>0.92</v>
      </c>
      <c r="E13" s="2">
        <v>1.2800000000000001E-2</v>
      </c>
      <c r="J13" s="6"/>
    </row>
    <row r="14" spans="1:10" x14ac:dyDescent="0.35">
      <c r="A14" t="s">
        <v>7</v>
      </c>
      <c r="B14" t="s">
        <v>3</v>
      </c>
      <c r="C14" s="1">
        <v>6164400</v>
      </c>
      <c r="D14" s="2">
        <v>0.92</v>
      </c>
      <c r="E14" s="2">
        <v>2.3300000000000001E-2</v>
      </c>
      <c r="J14" s="6"/>
    </row>
    <row r="15" spans="1:10" x14ac:dyDescent="0.35">
      <c r="A15" t="s">
        <v>7</v>
      </c>
      <c r="B15" t="s">
        <v>14</v>
      </c>
      <c r="C15" s="1">
        <v>6164400</v>
      </c>
      <c r="D15" s="2">
        <v>0.92</v>
      </c>
      <c r="E15" s="2">
        <v>0.11070000000000001</v>
      </c>
      <c r="J15" s="6"/>
    </row>
    <row r="16" spans="1:10" x14ac:dyDescent="0.35">
      <c r="A16" t="s">
        <v>7</v>
      </c>
      <c r="B16" t="s">
        <v>25</v>
      </c>
      <c r="C16" s="1"/>
      <c r="D16" s="2"/>
      <c r="E16" s="8">
        <f>SUM(E11:E15)</f>
        <v>0.1573</v>
      </c>
      <c r="J16" s="6"/>
    </row>
    <row r="17" spans="1:10" x14ac:dyDescent="0.35">
      <c r="A17" t="s">
        <v>8</v>
      </c>
      <c r="B17" t="s">
        <v>1</v>
      </c>
      <c r="C17" s="1">
        <v>18732800</v>
      </c>
      <c r="D17" s="2">
        <v>0.37</v>
      </c>
      <c r="E17" s="2">
        <v>2.35E-2</v>
      </c>
      <c r="J17" s="6"/>
    </row>
    <row r="18" spans="1:10" x14ac:dyDescent="0.35">
      <c r="A18" t="s">
        <v>8</v>
      </c>
      <c r="B18" t="s">
        <v>2</v>
      </c>
      <c r="C18" s="1">
        <v>18732800</v>
      </c>
      <c r="D18" s="2">
        <v>0.37</v>
      </c>
      <c r="E18" s="2">
        <v>4.0000000000000002E-4</v>
      </c>
      <c r="J18" s="6"/>
    </row>
    <row r="19" spans="1:10" x14ac:dyDescent="0.35">
      <c r="A19" t="s">
        <v>8</v>
      </c>
      <c r="B19" t="s">
        <v>13</v>
      </c>
      <c r="C19" s="1">
        <v>18732800</v>
      </c>
      <c r="D19" s="2">
        <v>0.37</v>
      </c>
      <c r="E19" s="2">
        <v>8.3900000000000002E-2</v>
      </c>
      <c r="J19" s="6"/>
    </row>
    <row r="20" spans="1:10" x14ac:dyDescent="0.35">
      <c r="A20" t="s">
        <v>8</v>
      </c>
      <c r="B20" t="s">
        <v>15</v>
      </c>
      <c r="C20" s="1">
        <v>18732800</v>
      </c>
      <c r="D20" s="2">
        <v>0.37</v>
      </c>
      <c r="E20" s="2">
        <v>1.32E-2</v>
      </c>
      <c r="J20" s="6"/>
    </row>
    <row r="21" spans="1:10" x14ac:dyDescent="0.35">
      <c r="A21" t="s">
        <v>8</v>
      </c>
      <c r="B21" t="s">
        <v>16</v>
      </c>
      <c r="C21" s="1">
        <v>18732800</v>
      </c>
      <c r="D21" s="2">
        <v>0.37</v>
      </c>
      <c r="E21" s="2">
        <v>1.5900000000000001E-2</v>
      </c>
      <c r="J21" s="6"/>
    </row>
    <row r="22" spans="1:10" x14ac:dyDescent="0.35">
      <c r="A22" t="s">
        <v>8</v>
      </c>
      <c r="B22" t="s">
        <v>3</v>
      </c>
      <c r="C22" s="1">
        <v>18732800</v>
      </c>
      <c r="D22" s="2">
        <v>0.37</v>
      </c>
      <c r="E22" s="2">
        <v>0.31940000000000002</v>
      </c>
      <c r="J22" s="6"/>
    </row>
    <row r="23" spans="1:10" x14ac:dyDescent="0.35">
      <c r="A23" t="s">
        <v>8</v>
      </c>
      <c r="B23" t="s">
        <v>14</v>
      </c>
      <c r="C23" s="1">
        <v>18732800</v>
      </c>
      <c r="D23" s="2">
        <v>0.37</v>
      </c>
      <c r="E23" s="2">
        <v>1.5299999999999999E-2</v>
      </c>
      <c r="J23" s="6"/>
    </row>
    <row r="24" spans="1:10" x14ac:dyDescent="0.35">
      <c r="A24" t="s">
        <v>8</v>
      </c>
      <c r="B24" t="s">
        <v>17</v>
      </c>
      <c r="C24" s="1">
        <v>18732800</v>
      </c>
      <c r="D24" s="2">
        <v>0.37</v>
      </c>
      <c r="E24" s="2">
        <v>0.2097</v>
      </c>
      <c r="J24" s="6"/>
    </row>
    <row r="25" spans="1:10" x14ac:dyDescent="0.35">
      <c r="A25" t="s">
        <v>8</v>
      </c>
      <c r="B25" t="s">
        <v>25</v>
      </c>
      <c r="C25" s="1"/>
      <c r="D25" s="2"/>
      <c r="E25" s="8">
        <f>SUM(E17:E24)</f>
        <v>0.68130000000000002</v>
      </c>
      <c r="J25" s="6"/>
    </row>
    <row r="26" spans="1:10" x14ac:dyDescent="0.35">
      <c r="A26" t="s">
        <v>21</v>
      </c>
      <c r="B26" t="s">
        <v>26</v>
      </c>
      <c r="C26" s="1">
        <v>13445101</v>
      </c>
      <c r="D26" s="2">
        <v>0.28999999999999998</v>
      </c>
      <c r="E26" s="2">
        <v>0.28999999999999998</v>
      </c>
      <c r="G26" s="3"/>
      <c r="H26" s="4"/>
      <c r="I26" s="5"/>
      <c r="J26" s="6"/>
    </row>
    <row r="27" spans="1:10" x14ac:dyDescent="0.35">
      <c r="A27" t="s">
        <v>21</v>
      </c>
      <c r="B27" t="s">
        <v>1</v>
      </c>
      <c r="C27" s="1">
        <v>13445102</v>
      </c>
      <c r="D27" s="2">
        <v>0.28999999999999998</v>
      </c>
      <c r="E27" s="2">
        <v>1.8E-3</v>
      </c>
      <c r="G27" s="3"/>
      <c r="H27" s="4"/>
      <c r="I27" s="5"/>
      <c r="J27" s="6"/>
    </row>
    <row r="28" spans="1:10" x14ac:dyDescent="0.35">
      <c r="A28" t="s">
        <v>21</v>
      </c>
      <c r="B28" t="s">
        <v>2</v>
      </c>
      <c r="C28" s="1">
        <v>13445103</v>
      </c>
      <c r="D28" s="2">
        <v>0.28999999999999998</v>
      </c>
      <c r="E28" s="2">
        <v>8.9599999999999999E-2</v>
      </c>
      <c r="G28" s="3"/>
      <c r="H28" s="4"/>
      <c r="I28" s="5"/>
      <c r="J28" s="6"/>
    </row>
    <row r="29" spans="1:10" x14ac:dyDescent="0.35">
      <c r="A29" t="s">
        <v>21</v>
      </c>
      <c r="B29" t="s">
        <v>27</v>
      </c>
      <c r="C29" s="1">
        <v>13445104</v>
      </c>
      <c r="D29" s="2">
        <v>0.28999999999999998</v>
      </c>
      <c r="E29" s="2">
        <v>0.28999999999999998</v>
      </c>
      <c r="G29" s="3"/>
      <c r="H29" s="4"/>
      <c r="I29" s="5"/>
      <c r="J29" s="6"/>
    </row>
    <row r="30" spans="1:10" x14ac:dyDescent="0.35">
      <c r="A30" t="s">
        <v>21</v>
      </c>
      <c r="B30" t="s">
        <v>28</v>
      </c>
      <c r="C30" s="1">
        <v>13445105</v>
      </c>
      <c r="D30" s="2">
        <v>0.28999999999999998</v>
      </c>
      <c r="E30" s="2">
        <v>0.28999999999999998</v>
      </c>
      <c r="G30" s="3"/>
      <c r="H30" s="4"/>
      <c r="I30" s="5"/>
      <c r="J30" s="6"/>
    </row>
    <row r="31" spans="1:10" x14ac:dyDescent="0.35">
      <c r="A31" t="s">
        <v>21</v>
      </c>
      <c r="B31" t="s">
        <v>3</v>
      </c>
      <c r="C31" s="1">
        <v>13445106</v>
      </c>
      <c r="D31" s="2">
        <v>0.28999999999999998</v>
      </c>
      <c r="E31" s="2">
        <v>5.5999999999999999E-3</v>
      </c>
      <c r="G31" s="3"/>
      <c r="H31" s="4"/>
      <c r="I31" s="5"/>
      <c r="J31" s="6"/>
    </row>
    <row r="32" spans="1:10" x14ac:dyDescent="0.35">
      <c r="A32" t="s">
        <v>21</v>
      </c>
      <c r="B32" t="s">
        <v>17</v>
      </c>
      <c r="C32" s="1">
        <v>13445107</v>
      </c>
      <c r="D32" s="2">
        <v>0.28999999999999998</v>
      </c>
      <c r="E32" s="2">
        <v>3.27E-2</v>
      </c>
      <c r="G32" s="3"/>
      <c r="H32" s="4"/>
      <c r="I32" s="5"/>
      <c r="J32" s="6"/>
    </row>
    <row r="33" spans="1:10" x14ac:dyDescent="0.35">
      <c r="A33" t="s">
        <v>21</v>
      </c>
      <c r="B33" t="s">
        <v>25</v>
      </c>
      <c r="C33" s="1"/>
      <c r="D33" s="2"/>
      <c r="E33" s="8">
        <f>SUM(E26:E32)</f>
        <v>0.99970000000000003</v>
      </c>
      <c r="G33" s="9"/>
      <c r="H33" s="10"/>
      <c r="I33" s="11"/>
      <c r="J33" s="6"/>
    </row>
    <row r="34" spans="1:10" x14ac:dyDescent="0.35">
      <c r="A34" t="s">
        <v>22</v>
      </c>
      <c r="B34" t="s">
        <v>29</v>
      </c>
      <c r="C34" s="1">
        <v>1571700</v>
      </c>
      <c r="D34" s="2">
        <v>0.45</v>
      </c>
      <c r="E34" s="2">
        <v>0.45</v>
      </c>
      <c r="J34" s="6"/>
    </row>
    <row r="35" spans="1:10" x14ac:dyDescent="0.35">
      <c r="A35" t="s">
        <v>22</v>
      </c>
      <c r="B35" t="s">
        <v>2</v>
      </c>
      <c r="C35" s="1">
        <v>1571700</v>
      </c>
      <c r="D35" s="2">
        <v>0.45</v>
      </c>
      <c r="E35" s="2">
        <v>3.5000000000000001E-3</v>
      </c>
      <c r="J35" s="6"/>
    </row>
    <row r="36" spans="1:10" x14ac:dyDescent="0.35">
      <c r="A36" t="s">
        <v>22</v>
      </c>
      <c r="B36" t="s">
        <v>14</v>
      </c>
      <c r="C36" s="1">
        <v>1571700</v>
      </c>
      <c r="D36" s="2">
        <v>0.45</v>
      </c>
      <c r="E36" s="2">
        <v>0.45</v>
      </c>
      <c r="J36" s="6"/>
    </row>
    <row r="37" spans="1:10" x14ac:dyDescent="0.35">
      <c r="A37" t="s">
        <v>22</v>
      </c>
      <c r="B37" t="s">
        <v>25</v>
      </c>
      <c r="E37" s="8">
        <f>SUM(E34:E36)</f>
        <v>0.90349999999999997</v>
      </c>
      <c r="J37" s="6"/>
    </row>
    <row r="38" spans="1:10" x14ac:dyDescent="0.35">
      <c r="A38" t="s">
        <v>23</v>
      </c>
      <c r="B38" t="s">
        <v>1</v>
      </c>
      <c r="C38" s="1">
        <v>4674200</v>
      </c>
      <c r="D38" s="2">
        <v>0.55000000000000004</v>
      </c>
      <c r="E38" s="2">
        <v>5.3E-3</v>
      </c>
      <c r="J38" s="6"/>
    </row>
    <row r="39" spans="1:10" x14ac:dyDescent="0.35">
      <c r="A39" t="s">
        <v>23</v>
      </c>
      <c r="B39" t="s">
        <v>2</v>
      </c>
      <c r="C39" s="1">
        <v>4674200</v>
      </c>
      <c r="D39" s="2">
        <v>0.55000000000000004</v>
      </c>
      <c r="E39" s="2">
        <v>4.9099999999999998E-2</v>
      </c>
      <c r="J39" s="6"/>
    </row>
    <row r="40" spans="1:10" x14ac:dyDescent="0.35">
      <c r="A40" t="s">
        <v>23</v>
      </c>
      <c r="B40" t="s">
        <v>3</v>
      </c>
      <c r="C40" s="1">
        <v>4674200</v>
      </c>
      <c r="D40" s="2">
        <v>0.55000000000000004</v>
      </c>
      <c r="E40" s="2">
        <v>0.39539999999999997</v>
      </c>
      <c r="J40" s="6"/>
    </row>
    <row r="41" spans="1:10" x14ac:dyDescent="0.35">
      <c r="A41" t="s">
        <v>23</v>
      </c>
      <c r="B41" t="s">
        <v>10</v>
      </c>
      <c r="C41" s="1">
        <v>4674200</v>
      </c>
      <c r="D41" s="2">
        <v>0.55000000000000004</v>
      </c>
      <c r="E41" s="2">
        <v>0.54969999999999997</v>
      </c>
      <c r="J41" s="6"/>
    </row>
    <row r="42" spans="1:10" x14ac:dyDescent="0.35">
      <c r="A42" t="s">
        <v>23</v>
      </c>
      <c r="B42" t="s">
        <v>25</v>
      </c>
      <c r="E42" s="8">
        <f>SUM(E38:E41)</f>
        <v>0.99949999999999994</v>
      </c>
      <c r="J42" s="6"/>
    </row>
    <row r="43" spans="1:10" x14ac:dyDescent="0.35">
      <c r="A43" t="s">
        <v>24</v>
      </c>
      <c r="B43" t="s">
        <v>30</v>
      </c>
      <c r="C43" s="1">
        <v>7281700</v>
      </c>
      <c r="D43" s="2">
        <v>0.39</v>
      </c>
      <c r="E43" s="2">
        <v>6.9999999999999999E-4</v>
      </c>
      <c r="J43" s="6"/>
    </row>
    <row r="44" spans="1:10" x14ac:dyDescent="0.35">
      <c r="A44" t="s">
        <v>24</v>
      </c>
      <c r="B44" t="s">
        <v>29</v>
      </c>
      <c r="C44" s="1">
        <v>7281700</v>
      </c>
      <c r="D44" s="2">
        <v>0.39</v>
      </c>
      <c r="E44" s="2">
        <v>1.23E-2</v>
      </c>
      <c r="J44" s="6"/>
    </row>
    <row r="45" spans="1:10" x14ac:dyDescent="0.35">
      <c r="A45" t="s">
        <v>24</v>
      </c>
      <c r="B45" t="s">
        <v>1</v>
      </c>
      <c r="C45" s="1">
        <v>7281700</v>
      </c>
      <c r="D45" s="2">
        <v>0.39</v>
      </c>
      <c r="E45" s="2">
        <v>0.32879999999999998</v>
      </c>
      <c r="J45" s="6"/>
    </row>
    <row r="46" spans="1:10" x14ac:dyDescent="0.35">
      <c r="A46" t="s">
        <v>24</v>
      </c>
      <c r="B46" t="s">
        <v>2</v>
      </c>
      <c r="C46" s="1">
        <v>7281700</v>
      </c>
      <c r="D46" s="2">
        <v>0.39</v>
      </c>
      <c r="E46" s="2">
        <v>5.9999999999999995E-4</v>
      </c>
      <c r="J46" s="6"/>
    </row>
    <row r="47" spans="1:10" x14ac:dyDescent="0.35">
      <c r="A47" t="s">
        <v>24</v>
      </c>
      <c r="B47" t="s">
        <v>3</v>
      </c>
      <c r="C47" s="1">
        <v>7281700</v>
      </c>
      <c r="D47" s="2">
        <v>0.39</v>
      </c>
      <c r="E47" s="2">
        <v>0.38340000000000002</v>
      </c>
      <c r="J47" s="6"/>
    </row>
    <row r="48" spans="1:10" x14ac:dyDescent="0.35">
      <c r="A48" t="s">
        <v>24</v>
      </c>
      <c r="B48" t="s">
        <v>10</v>
      </c>
      <c r="C48" s="1">
        <v>7281700</v>
      </c>
      <c r="D48" s="2">
        <v>0.39</v>
      </c>
      <c r="E48" s="2">
        <v>0.24940000000000001</v>
      </c>
      <c r="J48" s="6"/>
    </row>
    <row r="49" spans="1:10" x14ac:dyDescent="0.35">
      <c r="A49" t="s">
        <v>24</v>
      </c>
      <c r="B49" t="s">
        <v>25</v>
      </c>
      <c r="E49" s="8">
        <f>SUM(E43:E48)</f>
        <v>0.97520000000000007</v>
      </c>
      <c r="J4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0678-D1F6-44B4-8781-279C8EA78EE8}">
  <dimension ref="A1:J35"/>
  <sheetViews>
    <sheetView workbookViewId="0">
      <pane xSplit="1" ySplit="2" topLeftCell="B18" activePane="bottomRight" state="frozen"/>
      <selection pane="topRight" activeCell="B1" sqref="B1"/>
      <selection pane="bottomLeft" activeCell="A3" sqref="A3"/>
      <selection pane="bottomRight"/>
    </sheetView>
  </sheetViews>
  <sheetFormatPr defaultRowHeight="14.5" x14ac:dyDescent="0.35"/>
  <cols>
    <col min="1" max="1" width="15.26953125" customWidth="1"/>
    <col min="2" max="2" width="20.26953125" customWidth="1"/>
    <col min="3" max="3" width="13.6328125" bestFit="1" customWidth="1"/>
    <col min="4" max="4" width="12.54296875" bestFit="1" customWidth="1"/>
    <col min="5" max="6" width="11.7265625" bestFit="1" customWidth="1"/>
    <col min="7" max="9" width="12.7265625" bestFit="1" customWidth="1"/>
    <col min="10" max="10" width="5.36328125" bestFit="1" customWidth="1"/>
  </cols>
  <sheetData>
    <row r="1" spans="1:10" x14ac:dyDescent="0.35">
      <c r="A1" t="s">
        <v>33</v>
      </c>
      <c r="E1" s="7"/>
    </row>
    <row r="2" spans="1:10" x14ac:dyDescent="0.35">
      <c r="B2" s="12" t="s">
        <v>32</v>
      </c>
      <c r="C2" s="12" t="s">
        <v>12</v>
      </c>
      <c r="D2" s="12" t="s">
        <v>11</v>
      </c>
      <c r="E2" s="12" t="s">
        <v>4</v>
      </c>
      <c r="F2" s="12" t="s">
        <v>5</v>
      </c>
      <c r="G2" s="12" t="s">
        <v>6</v>
      </c>
      <c r="H2" s="12" t="s">
        <v>18</v>
      </c>
      <c r="I2" s="12" t="s">
        <v>19</v>
      </c>
      <c r="J2" s="13" t="s">
        <v>20</v>
      </c>
    </row>
    <row r="3" spans="1:10" x14ac:dyDescent="0.35">
      <c r="A3" t="s">
        <v>0</v>
      </c>
      <c r="B3" t="s">
        <v>34</v>
      </c>
      <c r="C3" s="1">
        <v>9523100</v>
      </c>
      <c r="D3" s="2">
        <v>0.67</v>
      </c>
      <c r="E3" s="2">
        <v>5.9999999999999995E-4</v>
      </c>
    </row>
    <row r="4" spans="1:10" x14ac:dyDescent="0.35">
      <c r="A4" t="s">
        <v>0</v>
      </c>
      <c r="B4" t="s">
        <v>35</v>
      </c>
      <c r="C4" s="1">
        <v>9523100</v>
      </c>
      <c r="D4" s="2">
        <v>0.67</v>
      </c>
      <c r="E4" s="2">
        <v>0</v>
      </c>
    </row>
    <row r="5" spans="1:10" x14ac:dyDescent="0.35">
      <c r="A5" t="s">
        <v>0</v>
      </c>
      <c r="B5" t="s">
        <v>36</v>
      </c>
      <c r="C5" s="1">
        <v>9523100</v>
      </c>
      <c r="D5" s="2">
        <v>0.67</v>
      </c>
      <c r="E5" s="2">
        <v>5.0000000000000001E-4</v>
      </c>
    </row>
    <row r="6" spans="1:10" x14ac:dyDescent="0.35">
      <c r="A6" t="s">
        <v>0</v>
      </c>
      <c r="B6" t="s">
        <v>37</v>
      </c>
      <c r="C6" s="1">
        <v>9523100</v>
      </c>
      <c r="D6" s="2">
        <v>0.67</v>
      </c>
      <c r="E6" s="2">
        <v>0.01</v>
      </c>
    </row>
    <row r="7" spans="1:10" x14ac:dyDescent="0.35">
      <c r="A7" t="s">
        <v>0</v>
      </c>
      <c r="B7" t="s">
        <v>38</v>
      </c>
      <c r="C7" s="1">
        <v>9523100</v>
      </c>
      <c r="D7" s="2">
        <v>0.67</v>
      </c>
      <c r="E7" s="2">
        <v>1.4E-3</v>
      </c>
    </row>
    <row r="8" spans="1:10" x14ac:dyDescent="0.35">
      <c r="A8" t="s">
        <v>0</v>
      </c>
      <c r="B8" t="s">
        <v>39</v>
      </c>
      <c r="C8" s="1">
        <v>9523100</v>
      </c>
      <c r="D8" s="2">
        <v>0.67</v>
      </c>
      <c r="E8" s="2">
        <v>1.11E-2</v>
      </c>
    </row>
    <row r="9" spans="1:10" x14ac:dyDescent="0.35">
      <c r="A9" t="s">
        <v>0</v>
      </c>
      <c r="B9" t="s">
        <v>40</v>
      </c>
      <c r="C9" s="1">
        <v>9523100</v>
      </c>
      <c r="D9" s="2">
        <v>0.67</v>
      </c>
      <c r="E9" s="2">
        <v>3.5999999999999997E-2</v>
      </c>
    </row>
    <row r="10" spans="1:10" x14ac:dyDescent="0.35">
      <c r="A10" t="s">
        <v>0</v>
      </c>
      <c r="B10" t="s">
        <v>41</v>
      </c>
      <c r="C10" s="1">
        <v>9523100</v>
      </c>
      <c r="D10" s="2">
        <v>0.67</v>
      </c>
      <c r="E10" s="2">
        <v>0.18890000000000001</v>
      </c>
    </row>
    <row r="11" spans="1:10" x14ac:dyDescent="0.35">
      <c r="A11" t="s">
        <v>0</v>
      </c>
      <c r="B11" t="s">
        <v>42</v>
      </c>
      <c r="C11" s="1">
        <v>9523100</v>
      </c>
      <c r="D11" s="2">
        <v>0.67</v>
      </c>
      <c r="E11" s="2">
        <v>8.8000000000000005E-3</v>
      </c>
    </row>
    <row r="12" spans="1:10" x14ac:dyDescent="0.35">
      <c r="A12" t="s">
        <v>0</v>
      </c>
      <c r="B12" t="s">
        <v>43</v>
      </c>
      <c r="C12" s="1">
        <v>9523100</v>
      </c>
      <c r="D12" s="2">
        <v>0.67</v>
      </c>
      <c r="E12" s="2">
        <v>1.2999999999999999E-3</v>
      </c>
    </row>
    <row r="13" spans="1:10" x14ac:dyDescent="0.35">
      <c r="A13" t="s">
        <v>0</v>
      </c>
      <c r="B13" t="s">
        <v>44</v>
      </c>
      <c r="C13" s="1">
        <v>9523100</v>
      </c>
      <c r="D13" s="2">
        <v>0.67</v>
      </c>
      <c r="E13" s="2">
        <v>1E-4</v>
      </c>
    </row>
    <row r="14" spans="1:10" x14ac:dyDescent="0.35">
      <c r="A14" t="s">
        <v>0</v>
      </c>
      <c r="B14" t="s">
        <v>45</v>
      </c>
      <c r="C14" s="1">
        <v>9523100</v>
      </c>
      <c r="D14" s="2">
        <v>0.67</v>
      </c>
      <c r="E14" s="2">
        <v>2.1899999999999999E-2</v>
      </c>
    </row>
    <row r="15" spans="1:10" x14ac:dyDescent="0.35">
      <c r="A15" t="s">
        <v>0</v>
      </c>
      <c r="B15" t="s">
        <v>46</v>
      </c>
      <c r="C15" s="1">
        <v>9523100</v>
      </c>
      <c r="D15" s="2">
        <v>0.67</v>
      </c>
      <c r="E15" s="2">
        <v>1.4E-3</v>
      </c>
    </row>
    <row r="16" spans="1:10" x14ac:dyDescent="0.35">
      <c r="A16" t="s">
        <v>0</v>
      </c>
      <c r="B16" t="s">
        <v>47</v>
      </c>
      <c r="C16" s="1">
        <v>9523100</v>
      </c>
      <c r="D16" s="2">
        <v>0.67</v>
      </c>
      <c r="E16" s="2">
        <v>0</v>
      </c>
    </row>
    <row r="17" spans="1:5" x14ac:dyDescent="0.35">
      <c r="A17" t="s">
        <v>0</v>
      </c>
      <c r="B17" t="s">
        <v>25</v>
      </c>
      <c r="E17" s="8">
        <f>SUM(E3:E16)</f>
        <v>0.28199999999999997</v>
      </c>
    </row>
    <row r="18" spans="1:5" x14ac:dyDescent="0.35">
      <c r="A18" t="s">
        <v>9</v>
      </c>
      <c r="B18" t="s">
        <v>34</v>
      </c>
      <c r="C18" s="1">
        <v>54354900</v>
      </c>
      <c r="D18" s="2">
        <v>0.3</v>
      </c>
      <c r="E18" s="2">
        <v>1.7999999999999999E-2</v>
      </c>
    </row>
    <row r="19" spans="1:5" x14ac:dyDescent="0.35">
      <c r="A19" t="s">
        <v>9</v>
      </c>
      <c r="B19" t="s">
        <v>35</v>
      </c>
      <c r="C19" s="1">
        <v>54354900</v>
      </c>
      <c r="D19" s="2">
        <v>0.3</v>
      </c>
      <c r="E19" s="2">
        <v>2.1700000000000001E-2</v>
      </c>
    </row>
    <row r="20" spans="1:5" x14ac:dyDescent="0.35">
      <c r="A20" t="s">
        <v>9</v>
      </c>
      <c r="B20" t="s">
        <v>36</v>
      </c>
      <c r="C20" s="1">
        <v>54354900</v>
      </c>
      <c r="D20" s="2">
        <v>0.3</v>
      </c>
      <c r="E20" s="2">
        <v>3.4200000000000001E-2</v>
      </c>
    </row>
    <row r="21" spans="1:5" x14ac:dyDescent="0.35">
      <c r="A21" t="s">
        <v>9</v>
      </c>
      <c r="B21" t="s">
        <v>37</v>
      </c>
      <c r="C21" s="1">
        <v>54354900</v>
      </c>
      <c r="D21" s="2">
        <v>0.3</v>
      </c>
      <c r="E21" s="2">
        <v>2.3699999999999999E-2</v>
      </c>
    </row>
    <row r="22" spans="1:5" x14ac:dyDescent="0.35">
      <c r="A22" t="s">
        <v>9</v>
      </c>
      <c r="B22" t="s">
        <v>38</v>
      </c>
      <c r="C22" s="1">
        <v>54354900</v>
      </c>
      <c r="D22" s="2">
        <v>0.3</v>
      </c>
      <c r="E22" s="2">
        <v>3.85E-2</v>
      </c>
    </row>
    <row r="23" spans="1:5" x14ac:dyDescent="0.35">
      <c r="A23" t="s">
        <v>9</v>
      </c>
      <c r="B23" t="s">
        <v>39</v>
      </c>
      <c r="C23" s="1">
        <v>54354900</v>
      </c>
      <c r="D23" s="2">
        <v>0.3</v>
      </c>
      <c r="E23" s="2">
        <v>0.12470000000000001</v>
      </c>
    </row>
    <row r="24" spans="1:5" x14ac:dyDescent="0.35">
      <c r="A24" t="s">
        <v>9</v>
      </c>
      <c r="B24" t="s">
        <v>40</v>
      </c>
      <c r="C24" s="1">
        <v>54354900</v>
      </c>
      <c r="D24" s="2">
        <v>0.3</v>
      </c>
      <c r="E24" s="2">
        <v>2.5100000000000001E-2</v>
      </c>
    </row>
    <row r="25" spans="1:5" x14ac:dyDescent="0.35">
      <c r="A25" t="s">
        <v>9</v>
      </c>
      <c r="B25" t="s">
        <v>41</v>
      </c>
      <c r="C25" s="1">
        <v>54354900</v>
      </c>
      <c r="D25" s="2">
        <v>0.3</v>
      </c>
      <c r="E25" s="2">
        <v>0.25559999999999999</v>
      </c>
    </row>
    <row r="26" spans="1:5" x14ac:dyDescent="0.35">
      <c r="A26" t="s">
        <v>9</v>
      </c>
      <c r="B26" t="s">
        <v>48</v>
      </c>
      <c r="C26" s="1">
        <v>54354900</v>
      </c>
      <c r="D26" s="2">
        <v>0.3</v>
      </c>
      <c r="E26" s="2">
        <v>2.1399999999999999E-2</v>
      </c>
    </row>
    <row r="27" spans="1:5" x14ac:dyDescent="0.35">
      <c r="A27" t="s">
        <v>9</v>
      </c>
      <c r="B27" t="s">
        <v>42</v>
      </c>
      <c r="C27" s="1">
        <v>54354900</v>
      </c>
      <c r="D27" s="2">
        <v>0.3</v>
      </c>
      <c r="E27" s="2">
        <v>7.4000000000000003E-3</v>
      </c>
    </row>
    <row r="28" spans="1:5" x14ac:dyDescent="0.35">
      <c r="A28" t="s">
        <v>9</v>
      </c>
      <c r="B28" t="s">
        <v>43</v>
      </c>
      <c r="C28" s="1">
        <v>54354900</v>
      </c>
      <c r="D28" s="2">
        <v>0.3</v>
      </c>
      <c r="E28" s="2">
        <v>0</v>
      </c>
    </row>
    <row r="29" spans="1:5" x14ac:dyDescent="0.35">
      <c r="A29" t="s">
        <v>9</v>
      </c>
      <c r="B29" t="s">
        <v>49</v>
      </c>
      <c r="C29" s="1">
        <v>54354900</v>
      </c>
      <c r="D29" s="2">
        <v>0.3</v>
      </c>
      <c r="E29" s="2">
        <v>0</v>
      </c>
    </row>
    <row r="30" spans="1:5" x14ac:dyDescent="0.35">
      <c r="A30" t="s">
        <v>9</v>
      </c>
      <c r="B30" t="s">
        <v>44</v>
      </c>
      <c r="C30" s="1">
        <v>54354900</v>
      </c>
      <c r="D30" s="2">
        <v>0.3</v>
      </c>
      <c r="E30" s="2">
        <v>1.2999999999999999E-3</v>
      </c>
    </row>
    <row r="31" spans="1:5" x14ac:dyDescent="0.35">
      <c r="A31" t="s">
        <v>9</v>
      </c>
      <c r="B31" t="s">
        <v>45</v>
      </c>
      <c r="C31" s="1">
        <v>54354900</v>
      </c>
      <c r="D31" s="2">
        <v>0.3</v>
      </c>
      <c r="E31" s="2">
        <v>4.0000000000000002E-4</v>
      </c>
    </row>
    <row r="32" spans="1:5" x14ac:dyDescent="0.35">
      <c r="A32" t="s">
        <v>9</v>
      </c>
      <c r="B32" t="s">
        <v>46</v>
      </c>
      <c r="C32" s="1">
        <v>54354900</v>
      </c>
      <c r="D32" s="2">
        <v>0.3</v>
      </c>
      <c r="E32" s="2">
        <v>5.2900000000000003E-2</v>
      </c>
    </row>
    <row r="33" spans="1:5" x14ac:dyDescent="0.35">
      <c r="A33" t="s">
        <v>9</v>
      </c>
      <c r="B33" t="s">
        <v>47</v>
      </c>
      <c r="C33" s="1">
        <v>54354900</v>
      </c>
      <c r="D33" s="2">
        <v>0.3</v>
      </c>
      <c r="E33" s="2">
        <v>1E-4</v>
      </c>
    </row>
    <row r="34" spans="1:5" x14ac:dyDescent="0.35">
      <c r="A34" t="s">
        <v>9</v>
      </c>
      <c r="B34" t="s">
        <v>25</v>
      </c>
      <c r="E34" s="8">
        <f>SUM(E18:E33)</f>
        <v>0.625</v>
      </c>
    </row>
    <row r="35" spans="1:5" x14ac:dyDescent="0.35">
      <c r="A35" s="1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14F6-C879-4ECB-BDC6-6ACEF282777E}">
  <dimension ref="A1:B35"/>
  <sheetViews>
    <sheetView workbookViewId="0">
      <selection activeCell="B20" sqref="B20"/>
    </sheetView>
  </sheetViews>
  <sheetFormatPr defaultRowHeight="14.5" x14ac:dyDescent="0.35"/>
  <cols>
    <col min="1" max="1" width="14.6328125" customWidth="1"/>
    <col min="2" max="2" width="102.90625" customWidth="1"/>
  </cols>
  <sheetData>
    <row r="1" spans="1:2" ht="75.5" thickBot="1" x14ac:dyDescent="0.4">
      <c r="A1" s="14" t="s">
        <v>51</v>
      </c>
      <c r="B1" s="15" t="s">
        <v>83</v>
      </c>
    </row>
    <row r="2" spans="1:2" ht="50.5" thickBot="1" x14ac:dyDescent="0.4">
      <c r="A2" s="14" t="s">
        <v>52</v>
      </c>
      <c r="B2" s="15" t="s">
        <v>53</v>
      </c>
    </row>
    <row r="4" spans="1:2" x14ac:dyDescent="0.35">
      <c r="A4" t="s">
        <v>62</v>
      </c>
      <c r="B4" t="s">
        <v>21</v>
      </c>
    </row>
    <row r="5" spans="1:2" x14ac:dyDescent="0.35">
      <c r="A5" t="s">
        <v>54</v>
      </c>
      <c r="B5" t="s">
        <v>84</v>
      </c>
    </row>
    <row r="6" spans="1:2" x14ac:dyDescent="0.35">
      <c r="A6" t="s">
        <v>55</v>
      </c>
    </row>
    <row r="7" spans="1:2" x14ac:dyDescent="0.35">
      <c r="A7" t="s">
        <v>56</v>
      </c>
      <c r="B7" t="s">
        <v>85</v>
      </c>
    </row>
    <row r="8" spans="1:2" x14ac:dyDescent="0.35">
      <c r="A8" t="s">
        <v>57</v>
      </c>
      <c r="B8" s="16" t="s">
        <v>86</v>
      </c>
    </row>
    <row r="9" spans="1:2" x14ac:dyDescent="0.35">
      <c r="A9" t="s">
        <v>58</v>
      </c>
      <c r="B9" s="16" t="s">
        <v>87</v>
      </c>
    </row>
    <row r="10" spans="1:2" x14ac:dyDescent="0.35">
      <c r="A10" t="s">
        <v>59</v>
      </c>
      <c r="B10" s="16" t="s">
        <v>88</v>
      </c>
    </row>
    <row r="11" spans="1:2" x14ac:dyDescent="0.35">
      <c r="A11" t="s">
        <v>60</v>
      </c>
    </row>
    <row r="12" spans="1:2" x14ac:dyDescent="0.35">
      <c r="A12" t="s">
        <v>61</v>
      </c>
      <c r="B12" t="s">
        <v>89</v>
      </c>
    </row>
    <row r="13" spans="1:2" x14ac:dyDescent="0.35">
      <c r="B13" s="16" t="s">
        <v>90</v>
      </c>
    </row>
    <row r="14" spans="1:2" x14ac:dyDescent="0.35">
      <c r="A14" t="s">
        <v>63</v>
      </c>
      <c r="B14" s="16" t="s">
        <v>91</v>
      </c>
    </row>
    <row r="15" spans="1:2" x14ac:dyDescent="0.35">
      <c r="A15" t="s">
        <v>64</v>
      </c>
      <c r="B15" s="16" t="s">
        <v>92</v>
      </c>
    </row>
    <row r="16" spans="1:2" x14ac:dyDescent="0.35">
      <c r="A16" t="s">
        <v>65</v>
      </c>
      <c r="B16" s="16" t="s">
        <v>93</v>
      </c>
    </row>
    <row r="17" spans="1:2" x14ac:dyDescent="0.35">
      <c r="A17" t="s">
        <v>66</v>
      </c>
    </row>
    <row r="18" spans="1:2" x14ac:dyDescent="0.35">
      <c r="B18" t="s">
        <v>94</v>
      </c>
    </row>
    <row r="19" spans="1:2" x14ac:dyDescent="0.35">
      <c r="A19" t="s">
        <v>67</v>
      </c>
      <c r="B19" s="16" t="s">
        <v>95</v>
      </c>
    </row>
    <row r="20" spans="1:2" x14ac:dyDescent="0.35">
      <c r="A20" t="s">
        <v>68</v>
      </c>
      <c r="B20" s="16" t="s">
        <v>96</v>
      </c>
    </row>
    <row r="21" spans="1:2" x14ac:dyDescent="0.35">
      <c r="A21" t="s">
        <v>69</v>
      </c>
      <c r="B21" s="16" t="s">
        <v>97</v>
      </c>
    </row>
    <row r="22" spans="1:2" x14ac:dyDescent="0.35">
      <c r="A22" t="s">
        <v>70</v>
      </c>
      <c r="B22" s="16" t="s">
        <v>98</v>
      </c>
    </row>
    <row r="23" spans="1:2" x14ac:dyDescent="0.35">
      <c r="A23" t="s">
        <v>71</v>
      </c>
      <c r="B23" s="16" t="s">
        <v>99</v>
      </c>
    </row>
    <row r="24" spans="1:2" x14ac:dyDescent="0.35">
      <c r="A24" t="s">
        <v>72</v>
      </c>
      <c r="B24" s="16" t="s">
        <v>100</v>
      </c>
    </row>
    <row r="25" spans="1:2" x14ac:dyDescent="0.35">
      <c r="A25" t="s">
        <v>73</v>
      </c>
      <c r="B25" s="16" t="s">
        <v>101</v>
      </c>
    </row>
    <row r="26" spans="1:2" x14ac:dyDescent="0.35">
      <c r="A26" t="s">
        <v>74</v>
      </c>
      <c r="B26" s="16" t="s">
        <v>102</v>
      </c>
    </row>
    <row r="27" spans="1:2" x14ac:dyDescent="0.35">
      <c r="A27" t="s">
        <v>75</v>
      </c>
      <c r="B27" s="16" t="s">
        <v>103</v>
      </c>
    </row>
    <row r="29" spans="1:2" x14ac:dyDescent="0.35">
      <c r="A29" t="s">
        <v>76</v>
      </c>
    </row>
    <row r="30" spans="1:2" x14ac:dyDescent="0.35">
      <c r="A30" s="12" t="s">
        <v>77</v>
      </c>
    </row>
    <row r="31" spans="1:2" x14ac:dyDescent="0.35">
      <c r="A31" t="s">
        <v>78</v>
      </c>
    </row>
    <row r="32" spans="1:2" x14ac:dyDescent="0.35">
      <c r="A32" t="s">
        <v>79</v>
      </c>
    </row>
    <row r="33" spans="1:1" x14ac:dyDescent="0.35">
      <c r="A33" t="s">
        <v>80</v>
      </c>
    </row>
    <row r="34" spans="1:1" x14ac:dyDescent="0.35">
      <c r="A34" t="s">
        <v>81</v>
      </c>
    </row>
    <row r="35" spans="1:1" x14ac:dyDescent="0.35">
      <c r="A3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non-FTA Q3</vt:lpstr>
      <vt:lpstr>FTA Q3</vt:lpstr>
      <vt:lpstr>HTS code covered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Hodges</dc:creator>
  <cp:lastModifiedBy>Laura Hodges</cp:lastModifiedBy>
  <dcterms:created xsi:type="dcterms:W3CDTF">2026-03-02T15:55:52Z</dcterms:created>
  <dcterms:modified xsi:type="dcterms:W3CDTF">2026-03-03T10:43:51Z</dcterms:modified>
</cp:coreProperties>
</file>